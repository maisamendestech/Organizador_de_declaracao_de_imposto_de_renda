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1d324052c246f6be/Área de Trabalho/TI-PROGRAMACAO(maisa)/Excel DIO/app_imposto_de_renda/"/>
    </mc:Choice>
  </mc:AlternateContent>
  <xr:revisionPtr revIDLastSave="0" documentId="8_{2F07A528-DF6C-4C9A-A2A3-8FE038FCD924}" xr6:coauthVersionLast="47" xr6:coauthVersionMax="47" xr10:uidLastSave="{00000000-0000-0000-0000-000000000000}"/>
  <bookViews>
    <workbookView xWindow="-110" yWindow="-110" windowWidth="19420" windowHeight="10300" tabRatio="0" firstSheet="3" activeTab="3" xr2:uid="{6F26F389-0C9F-4099-AE0A-82962CE2FEBF}"/>
  </bookViews>
  <sheets>
    <sheet name="TITULAR" sheetId="1" r:id="rId1"/>
    <sheet name="INFORMES" sheetId="2" r:id="rId2"/>
    <sheet name="NOTAS" sheetId="3" r:id="rId3"/>
    <sheet name="PAINEL" sheetId="8" r:id="rId4"/>
    <sheet name="TABELAS" sheetId="6" state="hidden" r:id="rId5"/>
  </sheets>
  <definedNames>
    <definedName name="_xlchart.v1.0" hidden="1">NOTAS!$D$9:$D$20</definedName>
    <definedName name="_xlchart.v1.1" hidden="1">NOTAS!$E$8</definedName>
    <definedName name="_xlchart.v1.2" hidden="1">NOTAS!$E$9:$E$20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8" l="1"/>
  <c r="D11" i="8"/>
  <c r="D23" i="8"/>
  <c r="D17" i="8"/>
  <c r="D24" i="8"/>
  <c r="D22" i="8"/>
  <c r="D21" i="8"/>
  <c r="D15" i="8"/>
  <c r="C6" i="2"/>
  <c r="D9" i="8" s="1"/>
</calcChain>
</file>

<file path=xl/sharedStrings.xml><?xml version="1.0" encoding="utf-8"?>
<sst xmlns="http://schemas.openxmlformats.org/spreadsheetml/2006/main" count="128" uniqueCount="106">
  <si>
    <t>NOME</t>
  </si>
  <si>
    <t>CPF</t>
  </si>
  <si>
    <t>NASCIMENTO</t>
  </si>
  <si>
    <t>RUA</t>
  </si>
  <si>
    <t>RUA ABREVIADA</t>
  </si>
  <si>
    <t>CEP</t>
  </si>
  <si>
    <t>TELEFONE</t>
  </si>
  <si>
    <t>CELULAR</t>
  </si>
  <si>
    <t>EMAIL</t>
  </si>
  <si>
    <t>RESIDENTE DO EXTERIOR</t>
  </si>
  <si>
    <t>1. DADOS DO TITULAR</t>
  </si>
  <si>
    <t>preencha os dados da sua pessoa fisica abaixo</t>
  </si>
  <si>
    <t>SIM</t>
  </si>
  <si>
    <t>NÃO</t>
  </si>
  <si>
    <t>MAISA MENDES SANTANA</t>
  </si>
  <si>
    <t>maisamendes.tech@gmail.com</t>
  </si>
  <si>
    <t>Rua dos Limoeiros R. N - 180</t>
  </si>
  <si>
    <t>Rua dos Limoeiros Ruan N - 180</t>
  </si>
  <si>
    <t>22/09/1989</t>
  </si>
  <si>
    <t>preencha com seus dados atuais de cada banco</t>
  </si>
  <si>
    <t>BANCO</t>
  </si>
  <si>
    <t>VALOR ATUAL</t>
  </si>
  <si>
    <t>ANEXO📎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</si>
  <si>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</si>
  <si>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</si>
  <si>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</si>
  <si>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</si>
  <si>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</si>
  <si>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</si>
  <si>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</si>
  <si>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</si>
  <si>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</si>
  <si>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</si>
  <si>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</si>
  <si>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</si>
  <si>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</si>
  <si>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</si>
  <si>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</si>
  <si>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</si>
  <si>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</si>
  <si>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</si>
  <si>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</si>
  <si>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</si>
  <si>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</si>
  <si>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</si>
  <si>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</si>
  <si>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</si>
  <si>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</si>
  <si>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</si>
  <si>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</si>
  <si>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</si>
  <si>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</si>
  <si>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</si>
  <si>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</si>
  <si>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</si>
  <si>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</si>
  <si>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</si>
  <si>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</si>
  <si>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</si>
  <si>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</si>
  <si>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</si>
  <si>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</si>
  <si>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</si>
  <si>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</si>
  <si>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</si>
  <si>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</si>
  <si>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</si>
  <si>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</si>
  <si>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</si>
  <si>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</si>
  <si>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</si>
  <si>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</si>
  <si>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</si>
  <si>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</si>
  <si>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docs_2026.pdf</t>
  </si>
  <si>
    <t>1º Banco</t>
  </si>
  <si>
    <t>2º Banco</t>
  </si>
  <si>
    <t>3º Banco</t>
  </si>
  <si>
    <t>TOTAL</t>
  </si>
  <si>
    <t>São todos os valores de entrada mês a mês de receita</t>
  </si>
  <si>
    <t>2. INFORMES DE RENDIMENTOS BANCÁRIOS</t>
  </si>
  <si>
    <t>DATA</t>
  </si>
  <si>
    <t>CATEGORIA</t>
  </si>
  <si>
    <t>VALOR</t>
  </si>
  <si>
    <t>ENTRADAS</t>
  </si>
  <si>
    <t>CNPJ</t>
  </si>
  <si>
    <t>FREELANCE</t>
  </si>
  <si>
    <t>HOLERITE</t>
  </si>
  <si>
    <t>3.NOTAS BANCÁRIAS OU EXTRATOS DE HOLERITES</t>
  </si>
  <si>
    <t>4. PAINEL DE CONFERÊNCIA</t>
  </si>
  <si>
    <t>RESUMO</t>
  </si>
  <si>
    <t>TOTAL INFORMES</t>
  </si>
  <si>
    <t>TOTAL ENTRADAS</t>
  </si>
  <si>
    <t>ENTRADAS CADASTRADAS</t>
  </si>
  <si>
    <t>DOCUMENTOS INFORMADOS</t>
  </si>
  <si>
    <t>STATUS GERAL</t>
  </si>
  <si>
    <t>CHECKLIST</t>
  </si>
  <si>
    <t>DADOS DO TITULAR</t>
  </si>
  <si>
    <t>INFORMES BANCÁRIOS</t>
  </si>
  <si>
    <t>DOCUMENTOS</t>
  </si>
  <si>
    <t>Resumo automático das informações preenchidas no APP</t>
  </si>
  <si>
    <t>TÍTULO DE ELEITOR</t>
  </si>
  <si>
    <t>CÔNJUGE</t>
  </si>
  <si>
    <t>DEPENDENTE CÔNJUGE</t>
  </si>
  <si>
    <t>HOUVE ALTERAÇÕES DA ENTREGA ANTERIOR</t>
  </si>
  <si>
    <t>Fulano de 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</si>
</sst>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164" formatCode="000&quot;.&quot;000&quot;.&quot;000&quot;-&quot;00"/>
    <numFmt numFmtId="165" formatCode="00000&quot;-&quot;000"/>
    <numFmt numFmtId="166" formatCode="[$R$-416]\ #,##0.00"/>
    <numFmt numFmtId="167" formatCode="dd/mm/yy;@"/>
    <numFmt numFmtId="168" formatCode="d/m/yy;@"/>
    <numFmt numFmtId="169" formatCode="\R\$\ #,##0.00"/>
    <numFmt numFmtId="170" formatCode="&quot;(&quot;00&quot;) &quot;00000&quot;-&quot;0000"/>
    <numFmt numFmtId="171" formatCode="00000000"/>
  </numFmts>
  <fonts count="19" x14ac:knownFonts="1">
    <font>
      <sz val="11"/>
      <color theme="1"/>
      <name val="Aptos Narrow"/>
      <family val="2"/>
      <scheme val="minor"/>
    </font>
    <font>
      <sz val="20"/>
      <color theme="1"/>
      <name val="Arial Black"/>
      <family val="2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8A5A2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8A5A2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 tint="0.34998626667073579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sz val="11"/>
      <color rgb="FF8A5A2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A5A20"/>
        <bgColor indexed="64"/>
      </patternFill>
    </fill>
    <fill>
      <patternFill patternType="solid">
        <fgColor rgb="FFF4C15D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C9903F"/>
      </bottom>
      <diagonal/>
    </border>
    <border>
      <left/>
      <right/>
      <top style="thick">
        <color rgb="FFC9903F"/>
      </top>
      <bottom/>
      <diagonal/>
    </border>
    <border>
      <left style="thin">
        <color rgb="FF8A5A20"/>
      </left>
      <right/>
      <top style="thin">
        <color rgb="FF8A5A20"/>
      </top>
      <bottom style="thin">
        <color theme="0" tint="-0.24994659260841701"/>
      </bottom>
      <diagonal/>
    </border>
    <border>
      <left/>
      <right/>
      <top style="thin">
        <color rgb="FF8A5A20"/>
      </top>
      <bottom style="thin">
        <color theme="0" tint="-0.24994659260841701"/>
      </bottom>
      <diagonal/>
    </border>
    <border>
      <left/>
      <right style="thin">
        <color rgb="FF8A5A20"/>
      </right>
      <top style="thin">
        <color rgb="FF8A5A20"/>
      </top>
      <bottom style="thin">
        <color theme="0" tint="-0.24994659260841701"/>
      </bottom>
      <diagonal/>
    </border>
    <border>
      <left style="thin">
        <color rgb="FF8A5A2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8A5A20"/>
      </left>
      <right/>
      <top style="thin">
        <color theme="0" tint="-0.24994659260841701"/>
      </top>
      <bottom style="thin">
        <color rgb="FF8A5A20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/>
    <xf numFmtId="0" fontId="6" fillId="0" borderId="2" xfId="0" applyFont="1" applyBorder="1" applyAlignment="1">
      <alignment horizontal="right"/>
    </xf>
    <xf numFmtId="0" fontId="3" fillId="0" borderId="3" xfId="2" applyBorder="1"/>
    <xf numFmtId="0" fontId="7" fillId="0" borderId="3" xfId="2" applyFont="1" applyBorder="1" applyAlignment="1">
      <alignment vertical="center"/>
    </xf>
    <xf numFmtId="0" fontId="8" fillId="4" borderId="0" xfId="0" applyFont="1" applyFill="1"/>
    <xf numFmtId="0" fontId="5" fillId="5" borderId="0" xfId="0" applyFont="1" applyFill="1"/>
    <xf numFmtId="0" fontId="11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4" fillId="7" borderId="2" xfId="3" applyFill="1" applyBorder="1" applyAlignment="1" applyProtection="1">
      <alignment horizontal="left"/>
      <protection locked="0"/>
    </xf>
    <xf numFmtId="164" fontId="4" fillId="7" borderId="2" xfId="3" applyNumberFormat="1" applyFill="1" applyBorder="1" applyAlignment="1" applyProtection="1">
      <alignment horizontal="left"/>
      <protection locked="0"/>
    </xf>
    <xf numFmtId="165" fontId="4" fillId="7" borderId="2" xfId="3" applyNumberFormat="1" applyFill="1" applyBorder="1" applyAlignment="1" applyProtection="1">
      <alignment horizontal="left"/>
      <protection locked="0"/>
    </xf>
    <xf numFmtId="0" fontId="10" fillId="7" borderId="2" xfId="4" applyFill="1" applyBorder="1" applyAlignment="1" applyProtection="1">
      <alignment horizontal="left"/>
      <protection locked="0"/>
    </xf>
    <xf numFmtId="168" fontId="16" fillId="0" borderId="0" xfId="0" applyNumberFormat="1" applyFont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6" fillId="0" borderId="5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170" fontId="4" fillId="7" borderId="2" xfId="3" applyNumberFormat="1" applyFill="1" applyBorder="1" applyAlignment="1" applyProtection="1">
      <alignment horizontal="left"/>
      <protection locked="0"/>
    </xf>
    <xf numFmtId="14" fontId="4" fillId="7" borderId="2" xfId="3" applyNumberFormat="1" applyFill="1" applyBorder="1" applyAlignment="1" applyProtection="1">
      <alignment horizontal="left"/>
      <protection locked="0"/>
    </xf>
    <xf numFmtId="171" fontId="4" fillId="7" borderId="2" xfId="3" applyNumberFormat="1" applyFill="1" applyBorder="1" applyAlignment="1" applyProtection="1">
      <alignment horizontal="left"/>
      <protection locked="0"/>
    </xf>
    <xf numFmtId="166" fontId="4" fillId="7" borderId="2" xfId="1" applyNumberFormat="1" applyFont="1" applyFill="1" applyBorder="1" applyAlignment="1" applyProtection="1">
      <alignment horizontal="left"/>
      <protection locked="0"/>
    </xf>
    <xf numFmtId="167" fontId="16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66" fontId="16" fillId="0" borderId="0" xfId="0" applyNumberFormat="1" applyFont="1" applyAlignment="1" applyProtection="1">
      <alignment horizontal="center" vertical="center"/>
      <protection locked="0"/>
    </xf>
    <xf numFmtId="0" fontId="9" fillId="4" borderId="4" xfId="0" applyFont="1" applyFill="1" applyBorder="1" applyAlignment="1">
      <alignment horizontal="left" vertical="center" indent="3"/>
    </xf>
    <xf numFmtId="166" fontId="12" fillId="7" borderId="0" xfId="3" applyNumberFormat="1" applyFont="1" applyFill="1" applyAlignment="1">
      <alignment horizontal="center"/>
    </xf>
    <xf numFmtId="0" fontId="12" fillId="7" borderId="0" xfId="3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69" fontId="18" fillId="7" borderId="6" xfId="1" applyNumberFormat="1" applyFont="1" applyFill="1" applyBorder="1" applyAlignment="1">
      <alignment horizontal="left"/>
    </xf>
    <xf numFmtId="0" fontId="18" fillId="0" borderId="7" xfId="0" applyFont="1" applyBorder="1"/>
    <xf numFmtId="169" fontId="4" fillId="7" borderId="6" xfId="1" applyNumberFormat="1" applyFont="1" applyFill="1" applyBorder="1" applyAlignment="1">
      <alignment horizontal="left"/>
    </xf>
    <xf numFmtId="0" fontId="0" fillId="0" borderId="7" xfId="0" applyBorder="1"/>
    <xf numFmtId="0" fontId="18" fillId="7" borderId="6" xfId="1" applyNumberFormat="1" applyFont="1" applyFill="1" applyBorder="1" applyAlignment="1">
      <alignment horizontal="left"/>
    </xf>
    <xf numFmtId="0" fontId="4" fillId="7" borderId="6" xfId="1" applyNumberFormat="1" applyFont="1" applyFill="1" applyBorder="1" applyAlignment="1">
      <alignment horizontal="left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17">
    <dxf>
      <numFmt numFmtId="166" formatCode="[$R$-416]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6" formatCode="[$R$-416]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dd/mm/yy;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rgb="FFF4C15D"/>
        </patternFill>
      </fill>
    </dxf>
    <dxf>
      <fill>
        <patternFill>
          <bgColor rgb="FFC9903F"/>
        </patternFill>
      </fill>
    </dxf>
    <dxf>
      <fill>
        <patternFill>
          <bgColor rgb="FFF4C15D"/>
        </patternFill>
      </fill>
    </dxf>
    <dxf>
      <fill>
        <patternFill>
          <bgColor rgb="FFC9903F"/>
        </patternFill>
      </fill>
    </dxf>
    <dxf>
      <fill>
        <patternFill>
          <bgColor rgb="FFF4C15D"/>
        </patternFill>
      </fill>
    </dxf>
    <dxf>
      <fill>
        <patternFill>
          <bgColor rgb="FF8A5A20"/>
        </patternFill>
      </fill>
    </dxf>
    <dxf>
      <fill>
        <patternFill>
          <bgColor rgb="FFF4C15D"/>
        </patternFill>
      </fill>
    </dxf>
    <dxf>
      <fill>
        <patternFill>
          <bgColor rgb="FF8A5A20"/>
        </patternFill>
      </fill>
    </dxf>
    <dxf>
      <fill>
        <patternFill>
          <bgColor rgb="FFF4C15D"/>
        </patternFill>
      </fill>
    </dxf>
    <dxf>
      <fill>
        <patternFill>
          <bgColor rgb="FF8A5A20"/>
        </patternFill>
      </fill>
    </dxf>
  </dxfs>
  <tableStyles count="5" defaultTableStyle="TableStyleMedium2" defaultPivotStyle="PivotStyleLight16">
    <tableStyle name="Estilo de Tabela 1" pivot="0" count="2" xr9:uid="{C277595D-600B-421A-A90F-37073DD04692}">
      <tableStyleElement type="firstColumnStripe" dxfId="16"/>
      <tableStyleElement type="secondColumnStripe" dxfId="15"/>
    </tableStyle>
    <tableStyle name="Estilo de Tabela 2" pivot="0" count="2" xr9:uid="{188C65E6-719D-4E2E-8FBC-7F022ABDEAD2}">
      <tableStyleElement type="firstRowStripe" dxfId="14"/>
      <tableStyleElement type="secondRowStripe" dxfId="13"/>
    </tableStyle>
    <tableStyle name="Estilo de Tabela 3" pivot="0" count="2" xr9:uid="{E139DA6D-DF20-4892-BDE3-F525AD399039}">
      <tableStyleElement type="headerRow" dxfId="12"/>
      <tableStyleElement type="firstRowStripe" dxfId="11"/>
    </tableStyle>
    <tableStyle name="Estilo de Tabela 4" pivot="0" count="2" xr9:uid="{5D24A527-480C-4E2C-B809-807ACE008371}">
      <tableStyleElement type="headerRow" dxfId="10"/>
      <tableStyleElement type="firstRowStripe" dxfId="9"/>
    </tableStyle>
    <tableStyle name="Estilo de Tabela 5" pivot="0" count="2" xr9:uid="{4B05DD41-E70D-4AEA-B252-5FE11B6B346C}">
      <tableStyleElement type="headerRow" dxfId="8"/>
      <tableStyleElement type="secondRowStripe" dxfId="7"/>
    </tableStyle>
  </tableStyles>
  <colors>
    <mruColors>
      <color rgb="FF8A5A20"/>
      <color rgb="FFC9903F"/>
      <color rgb="FFF4C15D"/>
      <color rgb="FFFFFFF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Entradas por Categoria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Entradas por Categoria</a:t>
          </a:r>
        </a:p>
      </cx:txPr>
    </cx:title>
    <cx:plotArea>
      <cx:plotAreaRegion>
        <cx:series layoutId="clusteredColumn" uniqueId="{18FDAFFA-ADE3-4888-AAE0-F54B1D3C5FA2}">
          <cx:tx>
            <cx:txData>
              <cx:f>_xlchart.v1.1</cx:f>
              <cx:v>VALOR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D1B63D5-5991-4E4E-A7C0-30D315F2CB8D}">
          <cx:axisId val="2"/>
        </cx:series>
      </cx:plotAreaRegion>
      <cx:axis id="0">
        <cx:catScaling gapWidth="0"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PAINEL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isa-mendes-1316a3394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PAINEL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isa-mendes-1316a3394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hyperlink" Target="#INFORMES!C1"/><Relationship Id="rId7" Type="http://schemas.openxmlformats.org/officeDocument/2006/relationships/hyperlink" Target="#PAINEL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isa-mendes-1316a3394/" TargetMode="External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PAINEL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isa-mendes-1316a3394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422584</xdr:colOff>
      <xdr:row>2</xdr:row>
      <xdr:rowOff>150459</xdr:rowOff>
    </xdr:from>
    <xdr:to>
      <xdr:col>0</xdr:col>
      <xdr:colOff>1635434</xdr:colOff>
      <xdr:row>8</xdr:row>
      <xdr:rowOff>8643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F4FB1E-EC8F-49BC-11F5-E5B05C274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584" y="538515"/>
          <a:ext cx="1212850" cy="958850"/>
        </a:xfrm>
        <a:prstGeom prst="rect">
          <a:avLst/>
        </a:prstGeom>
      </xdr:spPr>
    </xdr:pic>
    <xdr:clientData/>
  </xdr:twoCellAnchor>
  <xdr:twoCellAnchor editAs="absolute">
    <xdr:from>
      <xdr:col>0</xdr:col>
      <xdr:colOff>108259</xdr:colOff>
      <xdr:row>0</xdr:row>
      <xdr:rowOff>31750</xdr:rowOff>
    </xdr:from>
    <xdr:to>
      <xdr:col>0</xdr:col>
      <xdr:colOff>1949759</xdr:colOff>
      <xdr:row>2</xdr:row>
      <xdr:rowOff>127000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DEEAA55-0C2F-7190-6BCC-1B9176BEA073}"/>
            </a:ext>
          </a:extLst>
        </xdr:cNvPr>
        <xdr:cNvSpPr/>
      </xdr:nvSpPr>
      <xdr:spPr>
        <a:xfrm>
          <a:off x="108259" y="31750"/>
          <a:ext cx="1841500" cy="483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1800" b="1">
            <a:gradFill>
              <a:gsLst>
                <a:gs pos="63000">
                  <a:srgbClr val="B8873A"/>
                </a:gs>
                <a:gs pos="29000">
                  <a:srgbClr val="8A5A20"/>
                </a:gs>
                <a:gs pos="92000">
                  <a:srgbClr val="F4C15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76509</xdr:colOff>
      <xdr:row>8</xdr:row>
      <xdr:rowOff>32102</xdr:rowOff>
    </xdr:from>
    <xdr:to>
      <xdr:col>0</xdr:col>
      <xdr:colOff>1981509</xdr:colOff>
      <xdr:row>10</xdr:row>
      <xdr:rowOff>75847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571C38-536E-6573-F159-3E0B2591610B}"/>
            </a:ext>
          </a:extLst>
        </xdr:cNvPr>
        <xdr:cNvSpPr/>
      </xdr:nvSpPr>
      <xdr:spPr>
        <a:xfrm>
          <a:off x="76509" y="1520824"/>
          <a:ext cx="1905000" cy="410634"/>
        </a:xfrm>
        <a:prstGeom prst="roundRect">
          <a:avLst>
            <a:gd name="adj" fmla="val 50000"/>
          </a:avLst>
        </a:prstGeom>
        <a:gradFill>
          <a:gsLst>
            <a:gs pos="63000">
              <a:srgbClr val="B8873A"/>
            </a:gs>
            <a:gs pos="19000">
              <a:srgbClr val="8A5A20"/>
            </a:gs>
            <a:gs pos="92000">
              <a:srgbClr val="F4C15D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76509</xdr:colOff>
      <xdr:row>10</xdr:row>
      <xdr:rowOff>99306</xdr:rowOff>
    </xdr:from>
    <xdr:to>
      <xdr:col>0</xdr:col>
      <xdr:colOff>1981509</xdr:colOff>
      <xdr:row>12</xdr:row>
      <xdr:rowOff>139523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DE1843-B1CF-4D41-8772-CA88FC38C2C7}"/>
            </a:ext>
          </a:extLst>
        </xdr:cNvPr>
        <xdr:cNvSpPr/>
      </xdr:nvSpPr>
      <xdr:spPr>
        <a:xfrm>
          <a:off x="76509" y="1954917"/>
          <a:ext cx="1905000" cy="40710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76509</xdr:colOff>
      <xdr:row>12</xdr:row>
      <xdr:rowOff>162982</xdr:rowOff>
    </xdr:from>
    <xdr:to>
      <xdr:col>0</xdr:col>
      <xdr:colOff>1981509</xdr:colOff>
      <xdr:row>15</xdr:row>
      <xdr:rowOff>23282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8C4022-CD7C-4F3C-9568-6F213B1B6258}"/>
            </a:ext>
          </a:extLst>
        </xdr:cNvPr>
        <xdr:cNvSpPr/>
      </xdr:nvSpPr>
      <xdr:spPr>
        <a:xfrm>
          <a:off x="76509" y="2385482"/>
          <a:ext cx="1905000" cy="41063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89562</xdr:colOff>
      <xdr:row>17</xdr:row>
      <xdr:rowOff>131054</xdr:rowOff>
    </xdr:from>
    <xdr:to>
      <xdr:col>0</xdr:col>
      <xdr:colOff>1968456</xdr:colOff>
      <xdr:row>19</xdr:row>
      <xdr:rowOff>60499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D3CA45F-DFF3-2B30-1273-45C4B30DDE90}"/>
            </a:ext>
          </a:extLst>
        </xdr:cNvPr>
        <xdr:cNvSpPr/>
      </xdr:nvSpPr>
      <xdr:spPr>
        <a:xfrm>
          <a:off x="89562" y="3270776"/>
          <a:ext cx="1878894" cy="2963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MAISA MENDES 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124134</xdr:colOff>
      <xdr:row>17</xdr:row>
      <xdr:rowOff>107595</xdr:rowOff>
    </xdr:from>
    <xdr:to>
      <xdr:col>0</xdr:col>
      <xdr:colOff>1933884</xdr:colOff>
      <xdr:row>17</xdr:row>
      <xdr:rowOff>107595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668655D0-7D30-F9E2-0696-EA744C0E7207}"/>
            </a:ext>
          </a:extLst>
        </xdr:cNvPr>
        <xdr:cNvCxnSpPr/>
      </xdr:nvCxnSpPr>
      <xdr:spPr>
        <a:xfrm>
          <a:off x="124134" y="3247317"/>
          <a:ext cx="1809750" cy="0"/>
        </a:xfrm>
        <a:prstGeom prst="line">
          <a:avLst/>
        </a:prstGeom>
        <a:ln w="9525">
          <a:solidFill>
            <a:srgbClr val="8A5A2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838509</xdr:colOff>
      <xdr:row>19</xdr:row>
      <xdr:rowOff>83960</xdr:rowOff>
    </xdr:from>
    <xdr:to>
      <xdr:col>0</xdr:col>
      <xdr:colOff>1219509</xdr:colOff>
      <xdr:row>21</xdr:row>
      <xdr:rowOff>125588</xdr:rowOff>
    </xdr:to>
    <xdr:pic>
      <xdr:nvPicPr>
        <xdr:cNvPr id="14" name="icone_linkedin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3D8158-F342-459E-AAF2-331F9E7AB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509" y="3590571"/>
          <a:ext cx="381000" cy="408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91723</xdr:colOff>
      <xdr:row>18</xdr:row>
      <xdr:rowOff>126999</xdr:rowOff>
    </xdr:from>
    <xdr:to>
      <xdr:col>3</xdr:col>
      <xdr:colOff>2808112</xdr:colOff>
      <xdr:row>19</xdr:row>
      <xdr:rowOff>148167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B6C4F4-C60D-2771-4E74-26F7613E22A8}"/>
            </a:ext>
          </a:extLst>
        </xdr:cNvPr>
        <xdr:cNvSpPr/>
      </xdr:nvSpPr>
      <xdr:spPr>
        <a:xfrm>
          <a:off x="5644445" y="3450166"/>
          <a:ext cx="2716389" cy="204612"/>
        </a:xfrm>
        <a:prstGeom prst="rect">
          <a:avLst/>
        </a:prstGeom>
        <a:solidFill>
          <a:srgbClr val="C990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76509</xdr:colOff>
      <xdr:row>15</xdr:row>
      <xdr:rowOff>46741</xdr:rowOff>
    </xdr:from>
    <xdr:to>
      <xdr:col>0</xdr:col>
      <xdr:colOff>1981509</xdr:colOff>
      <xdr:row>17</xdr:row>
      <xdr:rowOff>84136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F90714-C907-4FB4-935B-C469DEA6DACB}"/>
            </a:ext>
          </a:extLst>
        </xdr:cNvPr>
        <xdr:cNvSpPr/>
      </xdr:nvSpPr>
      <xdr:spPr>
        <a:xfrm>
          <a:off x="76509" y="2819574"/>
          <a:ext cx="1905000" cy="404284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PAINEL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440266</xdr:colOff>
      <xdr:row>2</xdr:row>
      <xdr:rowOff>146314</xdr:rowOff>
    </xdr:from>
    <xdr:to>
      <xdr:col>0</xdr:col>
      <xdr:colOff>1653116</xdr:colOff>
      <xdr:row>7</xdr:row>
      <xdr:rowOff>183003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D8ABAD-15F2-45D8-8250-6DD9A4F60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266" y="534370"/>
          <a:ext cx="1212850" cy="953911"/>
        </a:xfrm>
        <a:prstGeom prst="rect">
          <a:avLst/>
        </a:prstGeom>
      </xdr:spPr>
    </xdr:pic>
    <xdr:clientData/>
  </xdr:twoCellAnchor>
  <xdr:twoCellAnchor editAs="absolute">
    <xdr:from>
      <xdr:col>0</xdr:col>
      <xdr:colOff>125941</xdr:colOff>
      <xdr:row>0</xdr:row>
      <xdr:rowOff>31750</xdr:rowOff>
    </xdr:from>
    <xdr:to>
      <xdr:col>0</xdr:col>
      <xdr:colOff>1967441</xdr:colOff>
      <xdr:row>2</xdr:row>
      <xdr:rowOff>130527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1EFF976-2F3D-4CB0-8F47-47017CFCBFB3}"/>
            </a:ext>
          </a:extLst>
        </xdr:cNvPr>
        <xdr:cNvSpPr/>
      </xdr:nvSpPr>
      <xdr:spPr>
        <a:xfrm>
          <a:off x="125941" y="31750"/>
          <a:ext cx="1841500" cy="4868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1800" b="1">
            <a:gradFill>
              <a:gsLst>
                <a:gs pos="63000">
                  <a:srgbClr val="B8873A"/>
                </a:gs>
                <a:gs pos="29000">
                  <a:srgbClr val="8A5A20"/>
                </a:gs>
                <a:gs pos="92000">
                  <a:srgbClr val="F4C15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94191</xdr:colOff>
      <xdr:row>8</xdr:row>
      <xdr:rowOff>15346</xdr:rowOff>
    </xdr:from>
    <xdr:to>
      <xdr:col>0</xdr:col>
      <xdr:colOff>1999191</xdr:colOff>
      <xdr:row>10</xdr:row>
      <xdr:rowOff>52740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DC972A-8430-47B4-AB16-14C68E19CA39}"/>
            </a:ext>
          </a:extLst>
        </xdr:cNvPr>
        <xdr:cNvSpPr/>
      </xdr:nvSpPr>
      <xdr:spPr>
        <a:xfrm>
          <a:off x="94191" y="1504068"/>
          <a:ext cx="1905000" cy="4042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94191</xdr:colOff>
      <xdr:row>10</xdr:row>
      <xdr:rowOff>68527</xdr:rowOff>
    </xdr:from>
    <xdr:to>
      <xdr:col>0</xdr:col>
      <xdr:colOff>1999191</xdr:colOff>
      <xdr:row>12</xdr:row>
      <xdr:rowOff>106627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8A5FDD-A9D4-4C5B-8637-DA78E8519829}"/>
            </a:ext>
          </a:extLst>
        </xdr:cNvPr>
        <xdr:cNvSpPr/>
      </xdr:nvSpPr>
      <xdr:spPr>
        <a:xfrm>
          <a:off x="94191" y="1924138"/>
          <a:ext cx="1905000" cy="404989"/>
        </a:xfrm>
        <a:prstGeom prst="roundRect">
          <a:avLst>
            <a:gd name="adj" fmla="val 50000"/>
          </a:avLst>
        </a:prstGeom>
        <a:gradFill>
          <a:gsLst>
            <a:gs pos="63000">
              <a:srgbClr val="B8873A"/>
            </a:gs>
            <a:gs pos="19000">
              <a:srgbClr val="8A5A20"/>
            </a:gs>
            <a:gs pos="92000">
              <a:srgbClr val="F4C15D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94191</xdr:colOff>
      <xdr:row>12</xdr:row>
      <xdr:rowOff>122414</xdr:rowOff>
    </xdr:from>
    <xdr:to>
      <xdr:col>0</xdr:col>
      <xdr:colOff>1999191</xdr:colOff>
      <xdr:row>14</xdr:row>
      <xdr:rowOff>159809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E0EC65-C183-4FF0-9A46-8FBBEE97C29E}"/>
            </a:ext>
          </a:extLst>
        </xdr:cNvPr>
        <xdr:cNvSpPr/>
      </xdr:nvSpPr>
      <xdr:spPr>
        <a:xfrm>
          <a:off x="94191" y="2344914"/>
          <a:ext cx="1905000" cy="4042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78316</xdr:colOff>
      <xdr:row>17</xdr:row>
      <xdr:rowOff>61121</xdr:rowOff>
    </xdr:from>
    <xdr:to>
      <xdr:col>0</xdr:col>
      <xdr:colOff>2015066</xdr:colOff>
      <xdr:row>19</xdr:row>
      <xdr:rowOff>20903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5F97283-19C2-41EA-8050-05004B100D73}"/>
            </a:ext>
          </a:extLst>
        </xdr:cNvPr>
        <xdr:cNvSpPr/>
      </xdr:nvSpPr>
      <xdr:spPr>
        <a:xfrm>
          <a:off x="78316" y="3200843"/>
          <a:ext cx="1936750" cy="3266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MAISA MENDES 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141816</xdr:colOff>
      <xdr:row>17</xdr:row>
      <xdr:rowOff>45334</xdr:rowOff>
    </xdr:from>
    <xdr:to>
      <xdr:col>0</xdr:col>
      <xdr:colOff>1951566</xdr:colOff>
      <xdr:row>17</xdr:row>
      <xdr:rowOff>45334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963B052-45C6-4623-85ED-06CBAA680D07}"/>
            </a:ext>
          </a:extLst>
        </xdr:cNvPr>
        <xdr:cNvCxnSpPr/>
      </xdr:nvCxnSpPr>
      <xdr:spPr>
        <a:xfrm>
          <a:off x="141816" y="3185056"/>
          <a:ext cx="1809750" cy="0"/>
        </a:xfrm>
        <a:prstGeom prst="line">
          <a:avLst/>
        </a:prstGeom>
        <a:ln w="9525">
          <a:solidFill>
            <a:srgbClr val="8A5A2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856191</xdr:colOff>
      <xdr:row>19</xdr:row>
      <xdr:rowOff>36689</xdr:rowOff>
    </xdr:from>
    <xdr:to>
      <xdr:col>0</xdr:col>
      <xdr:colOff>1237191</xdr:colOff>
      <xdr:row>21</xdr:row>
      <xdr:rowOff>74788</xdr:rowOff>
    </xdr:to>
    <xdr:pic>
      <xdr:nvPicPr>
        <xdr:cNvPr id="11" name="icone_linkedin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08146A-2A71-4F5D-9F87-D8A13DD78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191" y="3543300"/>
          <a:ext cx="381000" cy="404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63500</xdr:colOff>
      <xdr:row>22</xdr:row>
      <xdr:rowOff>0</xdr:rowOff>
    </xdr:from>
    <xdr:to>
      <xdr:col>3</xdr:col>
      <xdr:colOff>2779889</xdr:colOff>
      <xdr:row>23</xdr:row>
      <xdr:rowOff>21167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77A675-0CDD-4511-A158-5D3F4E868921}"/>
            </a:ext>
          </a:extLst>
        </xdr:cNvPr>
        <xdr:cNvSpPr/>
      </xdr:nvSpPr>
      <xdr:spPr>
        <a:xfrm>
          <a:off x="5616222" y="4056944"/>
          <a:ext cx="2716389" cy="204612"/>
        </a:xfrm>
        <a:prstGeom prst="rect">
          <a:avLst/>
        </a:prstGeom>
        <a:solidFill>
          <a:srgbClr val="C990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63500</xdr:colOff>
      <xdr:row>22</xdr:row>
      <xdr:rowOff>0</xdr:rowOff>
    </xdr:from>
    <xdr:to>
      <xdr:col>2</xdr:col>
      <xdr:colOff>2779889</xdr:colOff>
      <xdr:row>23</xdr:row>
      <xdr:rowOff>21167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80A1A-228D-4CC5-A12B-1E0014A8604C}"/>
            </a:ext>
          </a:extLst>
        </xdr:cNvPr>
        <xdr:cNvSpPr/>
      </xdr:nvSpPr>
      <xdr:spPr>
        <a:xfrm>
          <a:off x="2744611" y="4056944"/>
          <a:ext cx="2716389" cy="204612"/>
        </a:xfrm>
        <a:prstGeom prst="rect">
          <a:avLst/>
        </a:prstGeom>
        <a:solidFill>
          <a:srgbClr val="C990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94191</xdr:colOff>
      <xdr:row>14</xdr:row>
      <xdr:rowOff>175596</xdr:rowOff>
    </xdr:from>
    <xdr:to>
      <xdr:col>0</xdr:col>
      <xdr:colOff>1999191</xdr:colOff>
      <xdr:row>17</xdr:row>
      <xdr:rowOff>29547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4FE79A3-EBFE-4F42-AF13-65F60C3BD4A3}"/>
            </a:ext>
          </a:extLst>
        </xdr:cNvPr>
        <xdr:cNvSpPr/>
      </xdr:nvSpPr>
      <xdr:spPr>
        <a:xfrm>
          <a:off x="94191" y="2764985"/>
          <a:ext cx="1905000" cy="404284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PAINEL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412044</xdr:colOff>
      <xdr:row>2</xdr:row>
      <xdr:rowOff>160425</xdr:rowOff>
    </xdr:from>
    <xdr:to>
      <xdr:col>0</xdr:col>
      <xdr:colOff>1624894</xdr:colOff>
      <xdr:row>8</xdr:row>
      <xdr:rowOff>13670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213092-E548-4B2E-B390-FABA1AC9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044" y="548481"/>
          <a:ext cx="1212850" cy="953911"/>
        </a:xfrm>
        <a:prstGeom prst="rect">
          <a:avLst/>
        </a:prstGeom>
      </xdr:spPr>
    </xdr:pic>
    <xdr:clientData/>
  </xdr:twoCellAnchor>
  <xdr:twoCellAnchor editAs="absolute">
    <xdr:from>
      <xdr:col>0</xdr:col>
      <xdr:colOff>97719</xdr:colOff>
      <xdr:row>0</xdr:row>
      <xdr:rowOff>31750</xdr:rowOff>
    </xdr:from>
    <xdr:to>
      <xdr:col>0</xdr:col>
      <xdr:colOff>1939219</xdr:colOff>
      <xdr:row>2</xdr:row>
      <xdr:rowOff>130527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2EB6E96-F64F-4BBD-9F55-E9BE841C1A5B}"/>
            </a:ext>
          </a:extLst>
        </xdr:cNvPr>
        <xdr:cNvSpPr/>
      </xdr:nvSpPr>
      <xdr:spPr>
        <a:xfrm>
          <a:off x="97719" y="31750"/>
          <a:ext cx="1841500" cy="4868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1800" b="1">
            <a:gradFill>
              <a:gsLst>
                <a:gs pos="63000">
                  <a:srgbClr val="B8873A"/>
                </a:gs>
                <a:gs pos="29000">
                  <a:srgbClr val="8A5A20"/>
                </a:gs>
                <a:gs pos="92000">
                  <a:srgbClr val="F4C15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65969</xdr:colOff>
      <xdr:row>8</xdr:row>
      <xdr:rowOff>43568</xdr:rowOff>
    </xdr:from>
    <xdr:to>
      <xdr:col>0</xdr:col>
      <xdr:colOff>1970969</xdr:colOff>
      <xdr:row>10</xdr:row>
      <xdr:rowOff>80962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1947EE-559A-4190-ACCF-C6B6FCD80A1F}"/>
            </a:ext>
          </a:extLst>
        </xdr:cNvPr>
        <xdr:cNvSpPr/>
      </xdr:nvSpPr>
      <xdr:spPr>
        <a:xfrm>
          <a:off x="65969" y="1532290"/>
          <a:ext cx="1905000" cy="404283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65969</xdr:colOff>
      <xdr:row>10</xdr:row>
      <xdr:rowOff>110860</xdr:rowOff>
    </xdr:from>
    <xdr:to>
      <xdr:col>0</xdr:col>
      <xdr:colOff>1970969</xdr:colOff>
      <xdr:row>12</xdr:row>
      <xdr:rowOff>148960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456487-DCA3-4CFD-AB4A-DA0A15D111EF}"/>
            </a:ext>
          </a:extLst>
        </xdr:cNvPr>
        <xdr:cNvSpPr/>
      </xdr:nvSpPr>
      <xdr:spPr>
        <a:xfrm>
          <a:off x="65969" y="1966471"/>
          <a:ext cx="1905000" cy="404989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65969</xdr:colOff>
      <xdr:row>12</xdr:row>
      <xdr:rowOff>178858</xdr:rowOff>
    </xdr:from>
    <xdr:to>
      <xdr:col>0</xdr:col>
      <xdr:colOff>1970969</xdr:colOff>
      <xdr:row>15</xdr:row>
      <xdr:rowOff>32809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862BF7-D4B6-4F14-ACB4-CE681ED15BCD}"/>
            </a:ext>
          </a:extLst>
        </xdr:cNvPr>
        <xdr:cNvSpPr/>
      </xdr:nvSpPr>
      <xdr:spPr>
        <a:xfrm>
          <a:off x="65969" y="2401358"/>
          <a:ext cx="1905000" cy="404284"/>
        </a:xfrm>
        <a:prstGeom prst="roundRect">
          <a:avLst>
            <a:gd name="adj" fmla="val 50000"/>
          </a:avLst>
        </a:prstGeom>
        <a:gradFill>
          <a:gsLst>
            <a:gs pos="63000">
              <a:srgbClr val="B8873A"/>
            </a:gs>
            <a:gs pos="19000">
              <a:srgbClr val="8A5A20"/>
            </a:gs>
            <a:gs pos="92000">
              <a:srgbClr val="F4C15D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50094</xdr:colOff>
      <xdr:row>17</xdr:row>
      <xdr:rowOff>159898</xdr:rowOff>
    </xdr:from>
    <xdr:to>
      <xdr:col>0</xdr:col>
      <xdr:colOff>1986844</xdr:colOff>
      <xdr:row>19</xdr:row>
      <xdr:rowOff>119680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16E388B-826E-4C1C-A63C-D64EE9E092CA}"/>
            </a:ext>
          </a:extLst>
        </xdr:cNvPr>
        <xdr:cNvSpPr/>
      </xdr:nvSpPr>
      <xdr:spPr>
        <a:xfrm>
          <a:off x="50094" y="3299620"/>
          <a:ext cx="1936750" cy="3266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MAISA MENDES 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113594</xdr:colOff>
      <xdr:row>17</xdr:row>
      <xdr:rowOff>130000</xdr:rowOff>
    </xdr:from>
    <xdr:to>
      <xdr:col>0</xdr:col>
      <xdr:colOff>1923344</xdr:colOff>
      <xdr:row>17</xdr:row>
      <xdr:rowOff>130000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904354C-16F3-40EF-A97E-31373D62BE44}"/>
            </a:ext>
          </a:extLst>
        </xdr:cNvPr>
        <xdr:cNvCxnSpPr/>
      </xdr:nvCxnSpPr>
      <xdr:spPr>
        <a:xfrm>
          <a:off x="113594" y="3269722"/>
          <a:ext cx="1809750" cy="0"/>
        </a:xfrm>
        <a:prstGeom prst="line">
          <a:avLst/>
        </a:prstGeom>
        <a:ln w="9525">
          <a:solidFill>
            <a:srgbClr val="8A5A2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827969</xdr:colOff>
      <xdr:row>19</xdr:row>
      <xdr:rowOff>149579</xdr:rowOff>
    </xdr:from>
    <xdr:to>
      <xdr:col>0</xdr:col>
      <xdr:colOff>1208969</xdr:colOff>
      <xdr:row>22</xdr:row>
      <xdr:rowOff>4234</xdr:rowOff>
    </xdr:to>
    <xdr:pic>
      <xdr:nvPicPr>
        <xdr:cNvPr id="10" name="icone_linkedin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73E6C7-7455-40EC-B98A-3CBBD1A2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969" y="3656190"/>
          <a:ext cx="381000" cy="404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21167</xdr:colOff>
      <xdr:row>4</xdr:row>
      <xdr:rowOff>141113</xdr:rowOff>
    </xdr:from>
    <xdr:to>
      <xdr:col>2</xdr:col>
      <xdr:colOff>1262944</xdr:colOff>
      <xdr:row>5</xdr:row>
      <xdr:rowOff>105834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6C3C6C-4173-4D35-8E5D-56A65D80B782}"/>
            </a:ext>
          </a:extLst>
        </xdr:cNvPr>
        <xdr:cNvSpPr/>
      </xdr:nvSpPr>
      <xdr:spPr>
        <a:xfrm>
          <a:off x="2702278" y="896057"/>
          <a:ext cx="1241777" cy="148166"/>
        </a:xfrm>
        <a:prstGeom prst="rect">
          <a:avLst/>
        </a:prstGeom>
        <a:solidFill>
          <a:srgbClr val="C990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&lt;- ANTERIOR</a:t>
          </a:r>
          <a:r>
            <a:rPr lang="pt-BR" sz="1050" baseline="0"/>
            <a:t> </a:t>
          </a:r>
          <a:endParaRPr lang="pt-BR" sz="1050"/>
        </a:p>
      </xdr:txBody>
    </xdr:sp>
    <xdr:clientData/>
  </xdr:twoCellAnchor>
  <xdr:twoCellAnchor editAs="absolute">
    <xdr:from>
      <xdr:col>0</xdr:col>
      <xdr:colOff>65969</xdr:colOff>
      <xdr:row>15</xdr:row>
      <xdr:rowOff>62707</xdr:rowOff>
    </xdr:from>
    <xdr:to>
      <xdr:col>0</xdr:col>
      <xdr:colOff>1970969</xdr:colOff>
      <xdr:row>17</xdr:row>
      <xdr:rowOff>100102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E3D9D0A-249D-43E3-BCE1-AA42A4C2AD85}"/>
            </a:ext>
          </a:extLst>
        </xdr:cNvPr>
        <xdr:cNvSpPr/>
      </xdr:nvSpPr>
      <xdr:spPr>
        <a:xfrm>
          <a:off x="65969" y="2835540"/>
          <a:ext cx="1905000" cy="404284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PAINEL</a:t>
          </a:r>
        </a:p>
      </xdr:txBody>
    </xdr:sp>
    <xdr:clientData/>
  </xdr:twoCellAnchor>
  <xdr:twoCellAnchor>
    <xdr:from>
      <xdr:col>5</xdr:col>
      <xdr:colOff>345722</xdr:colOff>
      <xdr:row>6</xdr:row>
      <xdr:rowOff>99483</xdr:rowOff>
    </xdr:from>
    <xdr:to>
      <xdr:col>11</xdr:col>
      <xdr:colOff>388055</xdr:colOff>
      <xdr:row>20</xdr:row>
      <xdr:rowOff>7055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97C36C63-719C-6AAA-D604-07FF5C8739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9122" y="1223433"/>
              <a:ext cx="3699933" cy="24856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564445</xdr:colOff>
      <xdr:row>4</xdr:row>
      <xdr:rowOff>155223</xdr:rowOff>
    </xdr:from>
    <xdr:to>
      <xdr:col>4</xdr:col>
      <xdr:colOff>1806222</xdr:colOff>
      <xdr:row>5</xdr:row>
      <xdr:rowOff>119944</xdr:rowOff>
    </xdr:to>
    <xdr:sp macro="" textlink="">
      <xdr:nvSpPr>
        <xdr:cNvPr id="14" name="Retângulo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CF7AA0E-7A90-4137-A524-AA5DCB643BB0}"/>
            </a:ext>
          </a:extLst>
        </xdr:cNvPr>
        <xdr:cNvSpPr/>
      </xdr:nvSpPr>
      <xdr:spPr>
        <a:xfrm>
          <a:off x="6886223" y="910167"/>
          <a:ext cx="1241777" cy="148166"/>
        </a:xfrm>
        <a:prstGeom prst="rect">
          <a:avLst/>
        </a:prstGeom>
        <a:solidFill>
          <a:srgbClr val="C990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aseline="0"/>
            <a:t>PRÓXIMO -&gt; </a:t>
          </a:r>
          <a:endParaRPr lang="pt-BR" sz="105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433300</xdr:colOff>
      <xdr:row>2</xdr:row>
      <xdr:rowOff>155133</xdr:rowOff>
    </xdr:from>
    <xdr:to>
      <xdr:col>0</xdr:col>
      <xdr:colOff>1646150</xdr:colOff>
      <xdr:row>8</xdr:row>
      <xdr:rowOff>8378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CA2A26-2EC6-47BC-8F1D-DB6B17C1D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00" y="543189"/>
          <a:ext cx="1212850" cy="953911"/>
        </a:xfrm>
        <a:prstGeom prst="rect">
          <a:avLst/>
        </a:prstGeom>
      </xdr:spPr>
    </xdr:pic>
    <xdr:clientData/>
  </xdr:twoCellAnchor>
  <xdr:twoCellAnchor editAs="absolute">
    <xdr:from>
      <xdr:col>0</xdr:col>
      <xdr:colOff>118975</xdr:colOff>
      <xdr:row>0</xdr:row>
      <xdr:rowOff>31750</xdr:rowOff>
    </xdr:from>
    <xdr:to>
      <xdr:col>0</xdr:col>
      <xdr:colOff>1960475</xdr:colOff>
      <xdr:row>2</xdr:row>
      <xdr:rowOff>130527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79EE932-DBA3-4D15-B8D4-72B324BD2532}"/>
            </a:ext>
          </a:extLst>
        </xdr:cNvPr>
        <xdr:cNvSpPr/>
      </xdr:nvSpPr>
      <xdr:spPr>
        <a:xfrm>
          <a:off x="118975" y="31750"/>
          <a:ext cx="1841500" cy="4868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63000">
                    <a:srgbClr val="B8873A"/>
                  </a:gs>
                  <a:gs pos="29000">
                    <a:srgbClr val="8A5A20"/>
                  </a:gs>
                  <a:gs pos="92000">
                    <a:srgbClr val="F4C15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1800" b="1">
            <a:gradFill>
              <a:gsLst>
                <a:gs pos="63000">
                  <a:srgbClr val="B8873A"/>
                </a:gs>
                <a:gs pos="29000">
                  <a:srgbClr val="8A5A20"/>
                </a:gs>
                <a:gs pos="92000">
                  <a:srgbClr val="F4C15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87225</xdr:colOff>
      <xdr:row>8</xdr:row>
      <xdr:rowOff>32984</xdr:rowOff>
    </xdr:from>
    <xdr:to>
      <xdr:col>0</xdr:col>
      <xdr:colOff>1992225</xdr:colOff>
      <xdr:row>10</xdr:row>
      <xdr:rowOff>70378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1C2350-0ACE-4C1A-BDBD-8ECFB72FC383}"/>
            </a:ext>
          </a:extLst>
        </xdr:cNvPr>
        <xdr:cNvSpPr/>
      </xdr:nvSpPr>
      <xdr:spPr>
        <a:xfrm>
          <a:off x="87225" y="1521706"/>
          <a:ext cx="1905000" cy="404283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87225</xdr:colOff>
      <xdr:row>10</xdr:row>
      <xdr:rowOff>94984</xdr:rowOff>
    </xdr:from>
    <xdr:to>
      <xdr:col>0</xdr:col>
      <xdr:colOff>1992225</xdr:colOff>
      <xdr:row>12</xdr:row>
      <xdr:rowOff>133084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4F5C8B-AD3E-4441-A6A6-CD62E90F6C16}"/>
            </a:ext>
          </a:extLst>
        </xdr:cNvPr>
        <xdr:cNvSpPr/>
      </xdr:nvSpPr>
      <xdr:spPr>
        <a:xfrm>
          <a:off x="87225" y="1950595"/>
          <a:ext cx="1905000" cy="404989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87225</xdr:colOff>
      <xdr:row>12</xdr:row>
      <xdr:rowOff>157690</xdr:rowOff>
    </xdr:from>
    <xdr:to>
      <xdr:col>0</xdr:col>
      <xdr:colOff>1992225</xdr:colOff>
      <xdr:row>15</xdr:row>
      <xdr:rowOff>11641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995C37-A590-4F11-9466-C4A1F469E7EB}"/>
            </a:ext>
          </a:extLst>
        </xdr:cNvPr>
        <xdr:cNvSpPr/>
      </xdr:nvSpPr>
      <xdr:spPr>
        <a:xfrm>
          <a:off x="87225" y="2380190"/>
          <a:ext cx="1905000" cy="404284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71350</xdr:colOff>
      <xdr:row>17</xdr:row>
      <xdr:rowOff>122854</xdr:rowOff>
    </xdr:from>
    <xdr:to>
      <xdr:col>0</xdr:col>
      <xdr:colOff>2008100</xdr:colOff>
      <xdr:row>19</xdr:row>
      <xdr:rowOff>82636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371E2A3-63B0-4D97-83AF-1E07B0086CFB}"/>
            </a:ext>
          </a:extLst>
        </xdr:cNvPr>
        <xdr:cNvSpPr/>
      </xdr:nvSpPr>
      <xdr:spPr>
        <a:xfrm>
          <a:off x="71350" y="3262576"/>
          <a:ext cx="1936750" cy="3266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MAISA MENDES 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120739</xdr:colOff>
      <xdr:row>17</xdr:row>
      <xdr:rowOff>182915</xdr:rowOff>
    </xdr:from>
    <xdr:to>
      <xdr:col>0</xdr:col>
      <xdr:colOff>1930489</xdr:colOff>
      <xdr:row>17</xdr:row>
      <xdr:rowOff>182915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E5E3ADF-E1E9-401C-9718-C41D174C7BA6}"/>
            </a:ext>
          </a:extLst>
        </xdr:cNvPr>
        <xdr:cNvCxnSpPr/>
      </xdr:nvCxnSpPr>
      <xdr:spPr>
        <a:xfrm>
          <a:off x="120739" y="3322637"/>
          <a:ext cx="1809750" cy="0"/>
        </a:xfrm>
        <a:prstGeom prst="line">
          <a:avLst/>
        </a:prstGeom>
        <a:ln w="9525">
          <a:solidFill>
            <a:srgbClr val="8A5A2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849225</xdr:colOff>
      <xdr:row>19</xdr:row>
      <xdr:rowOff>107245</xdr:rowOff>
    </xdr:from>
    <xdr:to>
      <xdr:col>0</xdr:col>
      <xdr:colOff>1230225</xdr:colOff>
      <xdr:row>21</xdr:row>
      <xdr:rowOff>145344</xdr:rowOff>
    </xdr:to>
    <xdr:pic>
      <xdr:nvPicPr>
        <xdr:cNvPr id="9" name="icone_linkedin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883470-AD58-4DA3-B262-E36C8551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225" y="3613856"/>
          <a:ext cx="381000" cy="404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21167</xdr:colOff>
      <xdr:row>4</xdr:row>
      <xdr:rowOff>141113</xdr:rowOff>
    </xdr:from>
    <xdr:to>
      <xdr:col>2</xdr:col>
      <xdr:colOff>1262944</xdr:colOff>
      <xdr:row>5</xdr:row>
      <xdr:rowOff>105834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150C9A-4DAB-453D-83E6-EC118DB703E7}"/>
            </a:ext>
          </a:extLst>
        </xdr:cNvPr>
        <xdr:cNvSpPr/>
      </xdr:nvSpPr>
      <xdr:spPr>
        <a:xfrm>
          <a:off x="2707217" y="896763"/>
          <a:ext cx="1241777" cy="148871"/>
        </a:xfrm>
        <a:prstGeom prst="rect">
          <a:avLst/>
        </a:prstGeom>
        <a:solidFill>
          <a:srgbClr val="C990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&lt;- ANTERIOR</a:t>
          </a:r>
          <a:r>
            <a:rPr lang="pt-BR" sz="1050" baseline="0"/>
            <a:t> </a:t>
          </a:r>
          <a:endParaRPr lang="pt-BR" sz="1050"/>
        </a:p>
      </xdr:txBody>
    </xdr:sp>
    <xdr:clientData/>
  </xdr:twoCellAnchor>
  <xdr:twoCellAnchor editAs="absolute">
    <xdr:from>
      <xdr:col>0</xdr:col>
      <xdr:colOff>87225</xdr:colOff>
      <xdr:row>15</xdr:row>
      <xdr:rowOff>36247</xdr:rowOff>
    </xdr:from>
    <xdr:to>
      <xdr:col>0</xdr:col>
      <xdr:colOff>1992225</xdr:colOff>
      <xdr:row>17</xdr:row>
      <xdr:rowOff>73642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A074EE1-521E-440F-9DBF-174F14D7CC4B}"/>
            </a:ext>
          </a:extLst>
        </xdr:cNvPr>
        <xdr:cNvSpPr/>
      </xdr:nvSpPr>
      <xdr:spPr>
        <a:xfrm>
          <a:off x="87225" y="2809080"/>
          <a:ext cx="1905000" cy="404284"/>
        </a:xfrm>
        <a:prstGeom prst="roundRect">
          <a:avLst>
            <a:gd name="adj" fmla="val 50000"/>
          </a:avLst>
        </a:prstGeom>
        <a:gradFill>
          <a:gsLst>
            <a:gs pos="63000">
              <a:srgbClr val="B8873A"/>
            </a:gs>
            <a:gs pos="19000">
              <a:srgbClr val="8A5A20"/>
            </a:gs>
            <a:gs pos="92000">
              <a:srgbClr val="F4C15D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PAINEL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7BCCB-E619-4A00-9F06-C2BEACFDBF80}" name="Tabela1" displayName="Tabela1" ref="C8:E33" headerRowDxfId="6" dataDxfId="5">
  <autoFilter ref="C8:E33" xr:uid="{8BA7BCCB-E619-4A00-9F06-C2BEACFDBF80}"/>
  <tableColumns count="3">
    <tableColumn id="1" xr3:uid="{1B8F5629-4B92-44EF-8F8B-364F3991C74B}" name="DATA" totalsRowLabel="Total" dataDxfId="4" totalsRowDxfId="3"/>
    <tableColumn id="2" xr3:uid="{A3A4AD08-A28C-4D6F-98C2-EE13693FE5B6}" name="CATEGORIA" dataDxfId="2"/>
    <tableColumn id="3" xr3:uid="{4E99A1F7-E989-4F46-A5EF-F8958183DB47}" name="VALOR" totalsRowFunction="sum" dataDxfId="1" totalsRowDxfId="0"/>
  </tableColumns>
  <tableStyleInfo name="Estilo de Tabela 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aranja Amarelo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isamendes.tech@gmail.com?subject=Imposto%20de%20Renda/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F0DE-D6A7-4FB4-B9BF-90522ADFF284}">
  <sheetPr codeName="Planilha1"/>
  <dimension ref="A1:E22"/>
  <sheetViews>
    <sheetView showGridLines="0" showRowColHeaders="0" zoomScale="90" zoomScaleNormal="90" workbookViewId="0">
      <selection activeCell="D17" sqref="D17"/>
    </sheetView>
  </sheetViews>
  <sheetFormatPr defaultRowHeight="14.5" x14ac:dyDescent="0.35"/>
  <cols>
    <col min="1" max="1" width="29.7265625" style="1" customWidth="1"/>
    <col min="3" max="4" width="41.08984375" customWidth="1"/>
  </cols>
  <sheetData>
    <row r="1" spans="1:5" ht="14.5" customHeight="1" x14ac:dyDescent="0.35"/>
    <row r="2" spans="1:5" ht="16" customHeight="1" thickBot="1" x14ac:dyDescent="0.9">
      <c r="A2" s="2"/>
      <c r="C2" s="5" t="s">
        <v>10</v>
      </c>
      <c r="D2" s="4"/>
      <c r="E2" s="4"/>
    </row>
    <row r="3" spans="1:5" ht="14.5" customHeight="1" thickTop="1" x14ac:dyDescent="0.35">
      <c r="C3" s="30" t="s">
        <v>19</v>
      </c>
      <c r="D3" s="30"/>
      <c r="E3" s="6"/>
    </row>
    <row r="4" spans="1:5" ht="14.5" customHeight="1" x14ac:dyDescent="0.35"/>
    <row r="5" spans="1:5" ht="14.5" customHeight="1" x14ac:dyDescent="0.45">
      <c r="C5" s="3" t="s">
        <v>0</v>
      </c>
      <c r="D5" s="14" t="s">
        <v>14</v>
      </c>
    </row>
    <row r="6" spans="1:5" ht="14.5" customHeight="1" x14ac:dyDescent="0.45">
      <c r="C6" s="3" t="s">
        <v>1</v>
      </c>
      <c r="D6" s="15">
        <v>6587596422</v>
      </c>
    </row>
    <row r="7" spans="1:5" ht="14.5" customHeight="1" x14ac:dyDescent="0.45">
      <c r="C7" s="3" t="s">
        <v>2</v>
      </c>
      <c r="D7" s="24" t="s">
        <v>18</v>
      </c>
    </row>
    <row r="8" spans="1:5" ht="14.5" customHeight="1" x14ac:dyDescent="0.45">
      <c r="C8" s="3" t="s">
        <v>101</v>
      </c>
      <c r="D8" s="25">
        <v>32547896</v>
      </c>
    </row>
    <row r="9" spans="1:5" ht="14.5" customHeight="1" x14ac:dyDescent="0.45">
      <c r="C9" s="3" t="s">
        <v>102</v>
      </c>
      <c r="D9" s="14" t="s">
        <v>105</v>
      </c>
    </row>
    <row r="10" spans="1:5" ht="14.5" customHeight="1" x14ac:dyDescent="0.45">
      <c r="C10" s="3" t="s">
        <v>3</v>
      </c>
      <c r="D10" s="14" t="s">
        <v>17</v>
      </c>
    </row>
    <row r="11" spans="1:5" ht="14.5" customHeight="1" x14ac:dyDescent="0.45">
      <c r="C11" s="3" t="s">
        <v>4</v>
      </c>
      <c r="D11" s="14" t="s">
        <v>16</v>
      </c>
    </row>
    <row r="12" spans="1:5" ht="14.5" customHeight="1" x14ac:dyDescent="0.45">
      <c r="C12" s="3" t="s">
        <v>5</v>
      </c>
      <c r="D12" s="16">
        <v>54430250</v>
      </c>
    </row>
    <row r="13" spans="1:5" ht="14.5" customHeight="1" x14ac:dyDescent="0.45">
      <c r="C13" s="3" t="s">
        <v>6</v>
      </c>
      <c r="D13" s="23">
        <v>81334683580</v>
      </c>
    </row>
    <row r="14" spans="1:5" ht="14.5" customHeight="1" x14ac:dyDescent="0.45">
      <c r="C14" s="3" t="s">
        <v>7</v>
      </c>
      <c r="D14" s="23">
        <v>81995652506</v>
      </c>
    </row>
    <row r="15" spans="1:5" ht="14.5" customHeight="1" x14ac:dyDescent="0.45">
      <c r="C15" s="3" t="s">
        <v>8</v>
      </c>
      <c r="D15" s="17" t="s">
        <v>15</v>
      </c>
    </row>
    <row r="16" spans="1:5" ht="14.5" customHeight="1" x14ac:dyDescent="0.45">
      <c r="C16" s="3" t="s">
        <v>104</v>
      </c>
      <c r="D16" s="14" t="s">
        <v>12</v>
      </c>
    </row>
    <row r="17" spans="3:4" ht="14.5" customHeight="1" x14ac:dyDescent="0.45">
      <c r="C17" s="3" t="s">
        <v>103</v>
      </c>
      <c r="D17" s="14" t="s">
        <v>13</v>
      </c>
    </row>
    <row r="18" spans="3:4" ht="14.5" customHeight="1" x14ac:dyDescent="0.45">
      <c r="C18" s="3" t="s">
        <v>9</v>
      </c>
      <c r="D18" s="14" t="s">
        <v>13</v>
      </c>
    </row>
    <row r="19" spans="3:4" ht="14.5" customHeight="1" x14ac:dyDescent="0.35"/>
    <row r="20" spans="3:4" ht="14.5" customHeight="1" x14ac:dyDescent="0.35"/>
    <row r="21" spans="3:4" ht="14.5" customHeight="1" x14ac:dyDescent="0.35"/>
    <row r="22" spans="3:4" ht="14.5" customHeight="1" x14ac:dyDescent="0.35"/>
  </sheetData>
  <sheetProtection sheet="1" selectLockedCells="1"/>
  <mergeCells count="1">
    <mergeCell ref="C3:D3"/>
  </mergeCells>
  <dataValidations count="1">
    <dataValidation type="list" allowBlank="1" showInputMessage="1" showErrorMessage="1" sqref="D16:D18" xr:uid="{C9F5AC9C-840C-498E-B9A0-45233AC3718C}">
      <formula1>"SIM,NÃO"</formula1>
    </dataValidation>
  </dataValidations>
  <hyperlinks>
    <hyperlink ref="D15" r:id="rId1" xr:uid="{8437C079-AF3D-40A2-8DE2-93DE637AC18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8A43-F722-47F3-B019-B9470C443649}">
  <sheetPr codeName="Planilha2"/>
  <dimension ref="A1:E22"/>
  <sheetViews>
    <sheetView showGridLines="0" showRowColHeaders="0" topLeftCell="A3" zoomScale="90" zoomScaleNormal="90" workbookViewId="0">
      <selection activeCell="D14" sqref="D14"/>
    </sheetView>
  </sheetViews>
  <sheetFormatPr defaultRowHeight="14.5" x14ac:dyDescent="0.35"/>
  <cols>
    <col min="1" max="1" width="29.7265625" style="1" customWidth="1"/>
    <col min="3" max="4" width="41.08984375" customWidth="1"/>
  </cols>
  <sheetData>
    <row r="1" spans="1:5" ht="14.5" customHeight="1" x14ac:dyDescent="0.35"/>
    <row r="2" spans="1:5" ht="16" customHeight="1" thickBot="1" x14ac:dyDescent="0.9">
      <c r="A2" s="2"/>
      <c r="C2" s="5" t="s">
        <v>80</v>
      </c>
      <c r="D2" s="4"/>
      <c r="E2" s="4"/>
    </row>
    <row r="3" spans="1:5" ht="14.5" customHeight="1" thickTop="1" x14ac:dyDescent="0.35">
      <c r="C3" s="30" t="s">
        <v>11</v>
      </c>
      <c r="D3" s="30"/>
      <c r="E3" s="6"/>
    </row>
    <row r="4" spans="1:5" ht="14.5" customHeight="1" x14ac:dyDescent="0.35"/>
    <row r="5" spans="1:5" ht="14.5" customHeight="1" x14ac:dyDescent="0.45">
      <c r="C5" s="9" t="s">
        <v>78</v>
      </c>
    </row>
    <row r="6" spans="1:5" ht="14.5" customHeight="1" x14ac:dyDescent="0.35">
      <c r="C6" s="31">
        <f>SUM(D10,D15,D20)</f>
        <v>1505874</v>
      </c>
      <c r="D6" s="32"/>
    </row>
    <row r="7" spans="1:5" ht="14.5" customHeight="1" x14ac:dyDescent="0.35"/>
    <row r="8" spans="1:5" ht="14.5" customHeight="1" x14ac:dyDescent="0.35">
      <c r="C8" s="8" t="s">
        <v>75</v>
      </c>
    </row>
    <row r="9" spans="1:5" ht="14.5" customHeight="1" x14ac:dyDescent="0.45">
      <c r="C9" s="3" t="s">
        <v>20</v>
      </c>
      <c r="D9" s="14" t="s">
        <v>35</v>
      </c>
    </row>
    <row r="10" spans="1:5" ht="14.5" customHeight="1" x14ac:dyDescent="0.45">
      <c r="C10" s="3" t="s">
        <v>21</v>
      </c>
      <c r="D10" s="26">
        <v>658000</v>
      </c>
    </row>
    <row r="11" spans="1:5" ht="14.5" customHeight="1" x14ac:dyDescent="0.45">
      <c r="C11" s="3" t="s">
        <v>22</v>
      </c>
      <c r="D11" s="14" t="s">
        <v>74</v>
      </c>
    </row>
    <row r="12" spans="1:5" ht="14.5" customHeight="1" x14ac:dyDescent="0.35"/>
    <row r="13" spans="1:5" ht="14.5" customHeight="1" x14ac:dyDescent="0.35">
      <c r="C13" s="8" t="s">
        <v>76</v>
      </c>
    </row>
    <row r="14" spans="1:5" ht="14.5" customHeight="1" x14ac:dyDescent="0.45">
      <c r="C14" s="3" t="s">
        <v>20</v>
      </c>
      <c r="D14" s="14" t="s">
        <v>34</v>
      </c>
    </row>
    <row r="15" spans="1:5" ht="14.5" customHeight="1" x14ac:dyDescent="0.45">
      <c r="C15" s="3" t="s">
        <v>21</v>
      </c>
      <c r="D15" s="26">
        <v>125887</v>
      </c>
    </row>
    <row r="16" spans="1:5" ht="14.5" customHeight="1" x14ac:dyDescent="0.45">
      <c r="C16" s="3" t="s">
        <v>22</v>
      </c>
      <c r="D16" s="14" t="s">
        <v>74</v>
      </c>
    </row>
    <row r="17" spans="3:4" ht="14.5" customHeight="1" x14ac:dyDescent="0.35"/>
    <row r="18" spans="3:4" ht="14.5" customHeight="1" x14ac:dyDescent="0.35">
      <c r="C18" s="8" t="s">
        <v>77</v>
      </c>
    </row>
    <row r="19" spans="3:4" ht="14.5" customHeight="1" x14ac:dyDescent="0.45">
      <c r="C19" s="3" t="s">
        <v>20</v>
      </c>
      <c r="D19" s="14" t="s">
        <v>28</v>
      </c>
    </row>
    <row r="20" spans="3:4" ht="14.5" customHeight="1" x14ac:dyDescent="0.45">
      <c r="C20" s="3" t="s">
        <v>21</v>
      </c>
      <c r="D20" s="26">
        <v>721987</v>
      </c>
    </row>
    <row r="21" spans="3:4" ht="14.5" customHeight="1" x14ac:dyDescent="0.45">
      <c r="C21" s="3" t="s">
        <v>22</v>
      </c>
      <c r="D21" s="14" t="s">
        <v>74</v>
      </c>
    </row>
    <row r="22" spans="3:4" ht="14.5" customHeight="1" x14ac:dyDescent="0.35"/>
  </sheetData>
  <sheetProtection sheet="1" objects="1" scenarios="1" selectLockedCells="1"/>
  <mergeCells count="2">
    <mergeCell ref="C3:D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nco da lista" promptTitle="informe um banco" prompt="informe um banco vinculado ao seu CPF" xr:uid="{366D0A69-C653-4077-A3BD-48E19E650A28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5BE0-A83F-45D7-B92E-58CC60162F2E}">
  <sheetPr codeName="Planilha3"/>
  <dimension ref="A1:E34"/>
  <sheetViews>
    <sheetView showGridLines="0" showRowColHeaders="0" zoomScale="90" zoomScaleNormal="90" workbookViewId="0">
      <selection activeCell="C9" sqref="C9"/>
    </sheetView>
  </sheetViews>
  <sheetFormatPr defaultRowHeight="14.5" x14ac:dyDescent="0.35"/>
  <cols>
    <col min="1" max="1" width="29.7265625" style="1" customWidth="1"/>
    <col min="3" max="5" width="26.08984375" customWidth="1"/>
  </cols>
  <sheetData>
    <row r="1" spans="1:5" ht="14.5" customHeight="1" x14ac:dyDescent="0.35"/>
    <row r="2" spans="1:5" ht="16" customHeight="1" thickBot="1" x14ac:dyDescent="0.9">
      <c r="A2" s="2"/>
      <c r="C2" s="5" t="s">
        <v>88</v>
      </c>
      <c r="D2" s="4"/>
      <c r="E2" s="4"/>
    </row>
    <row r="3" spans="1:5" ht="14.5" customHeight="1" thickTop="1" x14ac:dyDescent="0.35">
      <c r="C3" s="30" t="s">
        <v>79</v>
      </c>
      <c r="D3" s="30"/>
      <c r="E3" s="6"/>
    </row>
    <row r="4" spans="1:5" ht="14.5" customHeight="1" x14ac:dyDescent="0.35"/>
    <row r="5" spans="1:5" ht="14.5" customHeight="1" x14ac:dyDescent="0.35"/>
    <row r="6" spans="1:5" ht="14.5" customHeight="1" x14ac:dyDescent="0.35"/>
    <row r="7" spans="1:5" ht="14.5" customHeight="1" x14ac:dyDescent="0.45">
      <c r="C7" s="33" t="s">
        <v>84</v>
      </c>
      <c r="D7" s="33"/>
      <c r="E7" s="33"/>
    </row>
    <row r="8" spans="1:5" ht="14.5" customHeight="1" x14ac:dyDescent="0.45">
      <c r="C8" s="10" t="s">
        <v>81</v>
      </c>
      <c r="D8" s="10" t="s">
        <v>82</v>
      </c>
      <c r="E8" s="10" t="s">
        <v>83</v>
      </c>
    </row>
    <row r="9" spans="1:5" ht="14.5" customHeight="1" x14ac:dyDescent="0.35">
      <c r="C9" s="27">
        <v>46280</v>
      </c>
      <c r="D9" s="28" t="s">
        <v>87</v>
      </c>
      <c r="E9" s="29">
        <v>3000</v>
      </c>
    </row>
    <row r="10" spans="1:5" ht="14.5" customHeight="1" x14ac:dyDescent="0.35">
      <c r="C10" s="27">
        <v>46275</v>
      </c>
      <c r="D10" s="28" t="s">
        <v>85</v>
      </c>
      <c r="E10" s="29">
        <v>7500</v>
      </c>
    </row>
    <row r="11" spans="1:5" ht="14.5" customHeight="1" x14ac:dyDescent="0.35">
      <c r="C11" s="27">
        <v>46270</v>
      </c>
      <c r="D11" s="28" t="s">
        <v>86</v>
      </c>
      <c r="E11" s="29">
        <v>8000</v>
      </c>
    </row>
    <row r="12" spans="1:5" ht="14.5" customHeight="1" x14ac:dyDescent="0.35">
      <c r="C12" s="27">
        <v>46249</v>
      </c>
      <c r="D12" s="28" t="s">
        <v>87</v>
      </c>
      <c r="E12" s="29">
        <v>3500</v>
      </c>
    </row>
    <row r="13" spans="1:5" ht="14.5" customHeight="1" x14ac:dyDescent="0.35">
      <c r="C13" s="27">
        <v>46244</v>
      </c>
      <c r="D13" s="28" t="s">
        <v>85</v>
      </c>
      <c r="E13" s="29">
        <v>5600</v>
      </c>
    </row>
    <row r="14" spans="1:5" ht="14.5" customHeight="1" x14ac:dyDescent="0.35">
      <c r="C14" s="27">
        <v>46239</v>
      </c>
      <c r="D14" s="28" t="s">
        <v>86</v>
      </c>
      <c r="E14" s="29">
        <v>7900</v>
      </c>
    </row>
    <row r="15" spans="1:5" ht="14.5" customHeight="1" x14ac:dyDescent="0.35">
      <c r="C15" s="27">
        <v>46218</v>
      </c>
      <c r="D15" s="28" t="s">
        <v>86</v>
      </c>
      <c r="E15" s="29">
        <v>9000</v>
      </c>
    </row>
    <row r="16" spans="1:5" ht="14.5" customHeight="1" x14ac:dyDescent="0.35">
      <c r="C16" s="27">
        <v>46213</v>
      </c>
      <c r="D16" s="28" t="s">
        <v>85</v>
      </c>
      <c r="E16" s="29">
        <v>2900</v>
      </c>
    </row>
    <row r="17" spans="3:5" ht="14.5" customHeight="1" x14ac:dyDescent="0.35">
      <c r="C17" s="27">
        <v>46208</v>
      </c>
      <c r="D17" s="28" t="s">
        <v>87</v>
      </c>
      <c r="E17" s="29">
        <v>3000</v>
      </c>
    </row>
    <row r="18" spans="3:5" ht="14.5" customHeight="1" x14ac:dyDescent="0.35">
      <c r="C18" s="27">
        <v>46188</v>
      </c>
      <c r="D18" s="28" t="s">
        <v>87</v>
      </c>
      <c r="E18" s="29">
        <v>2500</v>
      </c>
    </row>
    <row r="19" spans="3:5" ht="14.5" customHeight="1" x14ac:dyDescent="0.35">
      <c r="C19" s="27">
        <v>46183</v>
      </c>
      <c r="D19" s="28" t="s">
        <v>86</v>
      </c>
      <c r="E19" s="29">
        <v>6850</v>
      </c>
    </row>
    <row r="20" spans="3:5" ht="14.5" customHeight="1" x14ac:dyDescent="0.35">
      <c r="C20" s="27">
        <v>46178</v>
      </c>
      <c r="D20" s="28" t="s">
        <v>87</v>
      </c>
      <c r="E20" s="29">
        <v>5000</v>
      </c>
    </row>
    <row r="21" spans="3:5" ht="14.5" customHeight="1" x14ac:dyDescent="0.35">
      <c r="C21" s="27"/>
      <c r="D21" s="28"/>
      <c r="E21" s="29"/>
    </row>
    <row r="22" spans="3:5" ht="14.5" customHeight="1" x14ac:dyDescent="0.35">
      <c r="C22" s="27"/>
      <c r="D22" s="28"/>
      <c r="E22" s="29"/>
    </row>
    <row r="23" spans="3:5" ht="14.5" customHeight="1" x14ac:dyDescent="0.35">
      <c r="C23" s="27"/>
      <c r="D23" s="28"/>
      <c r="E23" s="29"/>
    </row>
    <row r="24" spans="3:5" ht="14.5" customHeight="1" x14ac:dyDescent="0.35">
      <c r="C24" s="27"/>
      <c r="D24" s="28"/>
      <c r="E24" s="29"/>
    </row>
    <row r="25" spans="3:5" ht="14.5" customHeight="1" x14ac:dyDescent="0.35">
      <c r="C25" s="27"/>
      <c r="D25" s="28"/>
      <c r="E25" s="29"/>
    </row>
    <row r="26" spans="3:5" ht="14.5" customHeight="1" x14ac:dyDescent="0.35">
      <c r="C26" s="27"/>
      <c r="D26" s="28"/>
      <c r="E26" s="29"/>
    </row>
    <row r="27" spans="3:5" ht="14.5" customHeight="1" x14ac:dyDescent="0.35">
      <c r="C27" s="27"/>
      <c r="D27" s="28"/>
      <c r="E27" s="29"/>
    </row>
    <row r="28" spans="3:5" ht="14.5" customHeight="1" x14ac:dyDescent="0.35">
      <c r="C28" s="27"/>
      <c r="D28" s="28"/>
      <c r="E28" s="29"/>
    </row>
    <row r="29" spans="3:5" ht="14.5" customHeight="1" x14ac:dyDescent="0.35">
      <c r="C29" s="27"/>
      <c r="D29" s="28"/>
      <c r="E29" s="29"/>
    </row>
    <row r="30" spans="3:5" ht="14.5" customHeight="1" x14ac:dyDescent="0.35">
      <c r="C30" s="27"/>
      <c r="D30" s="28"/>
      <c r="E30" s="29"/>
    </row>
    <row r="31" spans="3:5" ht="14.5" customHeight="1" x14ac:dyDescent="0.35">
      <c r="C31" s="27"/>
      <c r="D31" s="28"/>
      <c r="E31" s="29"/>
    </row>
    <row r="32" spans="3:5" ht="14.5" customHeight="1" x14ac:dyDescent="0.35">
      <c r="C32" s="27"/>
      <c r="D32" s="28"/>
      <c r="E32" s="29"/>
    </row>
    <row r="33" spans="3:5" ht="14.5" customHeight="1" x14ac:dyDescent="0.35">
      <c r="C33" s="27"/>
      <c r="D33" s="28"/>
      <c r="E33" s="29"/>
    </row>
    <row r="34" spans="3:5" ht="16.5" x14ac:dyDescent="0.35">
      <c r="C34" s="11"/>
      <c r="D34" s="12"/>
      <c r="E34" s="13"/>
    </row>
  </sheetData>
  <sheetProtection sheet="1" objects="1" scenarios="1" selectLockedCells="1"/>
  <mergeCells count="2">
    <mergeCell ref="C3:D3"/>
    <mergeCell ref="C7:E7"/>
  </mergeCells>
  <phoneticPr fontId="17" type="noConversion"/>
  <dataValidations count="1">
    <dataValidation type="list" allowBlank="1" showInputMessage="1" showErrorMessage="1" sqref="D9:D33" xr:uid="{ABBAB005-4021-47E4-B28F-0DC35004D623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3A2C-0206-47F9-829D-AB7C5B9753D4}">
  <sheetPr codeName="Planilha4"/>
  <dimension ref="A1:E34"/>
  <sheetViews>
    <sheetView showGridLines="0" showRowColHeaders="0" tabSelected="1" zoomScale="85" zoomScaleNormal="85" workbookViewId="0">
      <selection activeCell="D17" sqref="D17:E17"/>
    </sheetView>
  </sheetViews>
  <sheetFormatPr defaultRowHeight="14.5" x14ac:dyDescent="0.35"/>
  <cols>
    <col min="1" max="1" width="29.7265625" style="1" customWidth="1"/>
    <col min="3" max="4" width="41.08984375" customWidth="1"/>
    <col min="5" max="5" width="8.7265625" customWidth="1"/>
  </cols>
  <sheetData>
    <row r="1" spans="1:5" ht="14.5" customHeight="1" x14ac:dyDescent="0.35"/>
    <row r="2" spans="1:5" ht="16" customHeight="1" thickBot="1" x14ac:dyDescent="0.9">
      <c r="A2" s="2"/>
      <c r="C2" s="5" t="s">
        <v>89</v>
      </c>
      <c r="D2" s="4"/>
      <c r="E2" s="4"/>
    </row>
    <row r="3" spans="1:5" ht="14.5" customHeight="1" thickTop="1" x14ac:dyDescent="0.35">
      <c r="C3" s="30" t="s">
        <v>100</v>
      </c>
      <c r="D3" s="30"/>
      <c r="E3" s="30"/>
    </row>
    <row r="4" spans="1:5" ht="14.5" customHeight="1" x14ac:dyDescent="0.35"/>
    <row r="5" spans="1:5" ht="14.5" customHeight="1" x14ac:dyDescent="0.35"/>
    <row r="6" spans="1:5" ht="14.5" customHeight="1" x14ac:dyDescent="0.35"/>
    <row r="7" spans="1:5" ht="14.5" customHeight="1" x14ac:dyDescent="0.45">
      <c r="C7" s="33" t="s">
        <v>90</v>
      </c>
      <c r="D7" s="33"/>
      <c r="E7" s="33"/>
    </row>
    <row r="8" spans="1:5" ht="14.5" customHeight="1" x14ac:dyDescent="0.45">
      <c r="C8" s="19"/>
      <c r="D8" s="19"/>
      <c r="E8" s="19"/>
    </row>
    <row r="9" spans="1:5" ht="14.5" customHeight="1" x14ac:dyDescent="0.45">
      <c r="C9" s="20" t="s">
        <v>91</v>
      </c>
      <c r="D9" s="36">
        <f>INFORMES!$C$6</f>
        <v>1505874</v>
      </c>
      <c r="E9" s="37"/>
    </row>
    <row r="10" spans="1:5" ht="14.5" customHeight="1" x14ac:dyDescent="0.35">
      <c r="C10" s="12"/>
      <c r="D10" s="12"/>
      <c r="E10" s="12"/>
    </row>
    <row r="11" spans="1:5" ht="14.5" customHeight="1" x14ac:dyDescent="0.45">
      <c r="C11" s="21" t="s">
        <v>92</v>
      </c>
      <c r="D11" s="36">
        <f>SUM(NOTAS!E9:E33)</f>
        <v>64750</v>
      </c>
      <c r="E11" s="37"/>
    </row>
    <row r="12" spans="1:5" ht="14.5" customHeight="1" x14ac:dyDescent="0.35">
      <c r="C12" s="12"/>
      <c r="D12" s="12"/>
      <c r="E12" s="12"/>
    </row>
    <row r="13" spans="1:5" ht="14.5" customHeight="1" x14ac:dyDescent="0.45">
      <c r="C13" s="21" t="s">
        <v>93</v>
      </c>
      <c r="D13" s="38">
        <f>COUNT(NOTAS!E9:E33)</f>
        <v>12</v>
      </c>
      <c r="E13" s="35"/>
    </row>
    <row r="14" spans="1:5" ht="14.5" customHeight="1" x14ac:dyDescent="0.35">
      <c r="C14" s="12"/>
      <c r="D14" s="12"/>
      <c r="E14" s="12"/>
    </row>
    <row r="15" spans="1:5" ht="14.5" customHeight="1" x14ac:dyDescent="0.45">
      <c r="C15" s="21" t="s">
        <v>94</v>
      </c>
      <c r="D15" s="39">
        <f>COUNTA(INFORMES!D11,INFORMES!D16,INFORMES!D21)</f>
        <v>3</v>
      </c>
      <c r="E15" s="37"/>
    </row>
    <row r="16" spans="1:5" ht="14.5" customHeight="1" x14ac:dyDescent="0.35">
      <c r="C16" s="12"/>
      <c r="D16" s="12"/>
      <c r="E16" s="12"/>
    </row>
    <row r="17" spans="3:5" ht="14.5" customHeight="1" x14ac:dyDescent="0.45">
      <c r="C17" s="22" t="s">
        <v>95</v>
      </c>
      <c r="D17" s="34" t="str">
        <f>IF(AND(COUNTA(TITULAR!D5:D18)=14,COUNTA(INFORMES!D9:D21)&gt;=9,COUNT(NOTAS!E9:E33)&gt;0),"OK - CONFERIR","VERIFICAR")</f>
        <v>OK - CONFERIR</v>
      </c>
      <c r="E17" s="35"/>
    </row>
    <row r="18" spans="3:5" ht="14.5" customHeight="1" x14ac:dyDescent="0.35">
      <c r="C18" s="12"/>
      <c r="D18" s="12"/>
      <c r="E18" s="12"/>
    </row>
    <row r="19" spans="3:5" ht="14.5" customHeight="1" x14ac:dyDescent="0.45">
      <c r="C19" s="33" t="s">
        <v>96</v>
      </c>
      <c r="D19" s="33"/>
      <c r="E19" s="33"/>
    </row>
    <row r="20" spans="3:5" ht="14.5" customHeight="1" x14ac:dyDescent="0.35">
      <c r="C20" s="12"/>
      <c r="D20" s="12"/>
      <c r="E20" s="12"/>
    </row>
    <row r="21" spans="3:5" ht="14.5" customHeight="1" x14ac:dyDescent="0.45">
      <c r="C21" s="20" t="s">
        <v>97</v>
      </c>
      <c r="D21" s="36" t="str">
        <f>IF(COUNTA(TITULAR!D5:D18)=14,"OK","VERIFICAR")</f>
        <v>OK</v>
      </c>
      <c r="E21" s="37"/>
    </row>
    <row r="22" spans="3:5" ht="14.5" customHeight="1" x14ac:dyDescent="0.45">
      <c r="C22" s="21" t="s">
        <v>98</v>
      </c>
      <c r="D22" s="36" t="str">
        <f>IF(AND(COUNTA(INFORMES!D9:D21)&gt;=9,COUNTA(INFORMES!D11,INFORMES!D16,INFORMES!D21)=3),"OK","VERIFICAR")</f>
        <v>OK</v>
      </c>
      <c r="E22" s="37"/>
    </row>
    <row r="23" spans="3:5" ht="14.5" customHeight="1" x14ac:dyDescent="0.45">
      <c r="C23" s="21" t="s">
        <v>84</v>
      </c>
      <c r="D23" s="34" t="str">
        <f>IF(COUNT(NOTAS!E9:E33)&gt;0,"OK","VERIFICAR")</f>
        <v>OK</v>
      </c>
      <c r="E23" s="35"/>
    </row>
    <row r="24" spans="3:5" ht="14.5" customHeight="1" x14ac:dyDescent="0.45">
      <c r="C24" s="22" t="s">
        <v>99</v>
      </c>
      <c r="D24" s="36" t="str">
        <f>IF(COUNTA(INFORMES!D11,INFORMES!D16,INFORMES!D21)=3,"OK","VERIFICAR")</f>
        <v>OK</v>
      </c>
      <c r="E24" s="37"/>
    </row>
    <row r="25" spans="3:5" ht="14.5" customHeight="1" x14ac:dyDescent="0.35">
      <c r="C25" s="12"/>
      <c r="D25" s="12"/>
      <c r="E25" s="12"/>
    </row>
    <row r="26" spans="3:5" ht="14.5" customHeight="1" x14ac:dyDescent="0.35">
      <c r="C26" s="12"/>
      <c r="D26" s="12"/>
      <c r="E26" s="12"/>
    </row>
    <row r="27" spans="3:5" ht="14.5" customHeight="1" x14ac:dyDescent="0.35">
      <c r="C27" s="12"/>
      <c r="D27" s="12"/>
      <c r="E27" s="12"/>
    </row>
    <row r="28" spans="3:5" ht="14.5" customHeight="1" x14ac:dyDescent="0.35">
      <c r="C28" s="12"/>
      <c r="D28" s="12"/>
      <c r="E28" s="12"/>
    </row>
    <row r="29" spans="3:5" ht="14.5" customHeight="1" x14ac:dyDescent="0.35">
      <c r="C29" s="12"/>
      <c r="D29" s="12"/>
      <c r="E29" s="12"/>
    </row>
    <row r="30" spans="3:5" ht="14.5" customHeight="1" x14ac:dyDescent="0.35">
      <c r="C30" s="12"/>
      <c r="D30" s="12"/>
      <c r="E30" s="12"/>
    </row>
    <row r="31" spans="3:5" ht="14.5" customHeight="1" x14ac:dyDescent="0.35">
      <c r="C31" s="18"/>
      <c r="D31" s="12"/>
      <c r="E31" s="13"/>
    </row>
    <row r="32" spans="3:5" ht="14.5" customHeight="1" x14ac:dyDescent="0.35">
      <c r="C32" s="18"/>
      <c r="D32" s="12"/>
      <c r="E32" s="13"/>
    </row>
    <row r="33" spans="3:5" ht="14.5" customHeight="1" x14ac:dyDescent="0.35">
      <c r="C33" s="18"/>
      <c r="D33" s="12"/>
      <c r="E33" s="13"/>
    </row>
    <row r="34" spans="3:5" ht="16.5" x14ac:dyDescent="0.35">
      <c r="C34" s="18"/>
      <c r="D34" s="12"/>
      <c r="E34" s="13"/>
    </row>
  </sheetData>
  <sheetProtection sheet="1" objects="1" scenarios="1" selectLockedCells="1" selectUnlockedCells="1"/>
  <mergeCells count="12">
    <mergeCell ref="C7:E7"/>
    <mergeCell ref="C3:E3"/>
    <mergeCell ref="D9:E9"/>
    <mergeCell ref="D21:E21"/>
    <mergeCell ref="D22:E22"/>
    <mergeCell ref="D23:E23"/>
    <mergeCell ref="D24:E24"/>
    <mergeCell ref="D11:E11"/>
    <mergeCell ref="D13:E13"/>
    <mergeCell ref="D15:E15"/>
    <mergeCell ref="D17:E17"/>
    <mergeCell ref="C19:E19"/>
  </mergeCells>
  <phoneticPr fontId="17" type="noConversion"/>
  <dataValidations count="1">
    <dataValidation type="list" allowBlank="1" showInputMessage="1" showErrorMessage="1" sqref="D33:D34" xr:uid="{C7C4A8E5-147E-42C9-A592-8DE415EDC3EE}">
      <formula1>"HOLHERITE,CNPJ,FREELANCE"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DBA5-6819-4BD9-9A2F-995E6AF79390}">
  <sheetPr codeName="Planilha5"/>
  <dimension ref="A1:A51"/>
  <sheetViews>
    <sheetView showGridLines="0" topLeftCell="A33" workbookViewId="0">
      <selection activeCell="D3" sqref="D3"/>
    </sheetView>
  </sheetViews>
  <sheetFormatPr defaultRowHeight="14.5" x14ac:dyDescent="0.35"/>
  <cols>
    <col min="1" max="1" width="34.81640625" bestFit="1" customWidth="1"/>
  </cols>
  <sheetData>
    <row r="1" spans="1:1" x14ac:dyDescent="0.35">
      <c r="A1" s="7" t="s">
        <v>23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33</v>
      </c>
    </row>
    <row r="12" spans="1:1" x14ac:dyDescent="0.35">
      <c r="A12" t="s">
        <v>34</v>
      </c>
    </row>
    <row r="13" spans="1:1" x14ac:dyDescent="0.35">
      <c r="A13" t="s">
        <v>35</v>
      </c>
    </row>
    <row r="14" spans="1:1" x14ac:dyDescent="0.35">
      <c r="A14" t="s">
        <v>36</v>
      </c>
    </row>
    <row r="15" spans="1:1" x14ac:dyDescent="0.35">
      <c r="A15" t="s">
        <v>37</v>
      </c>
    </row>
    <row r="16" spans="1:1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  <row r="24" spans="1:1" x14ac:dyDescent="0.35">
      <c r="A24" t="s">
        <v>46</v>
      </c>
    </row>
    <row r="25" spans="1:1" x14ac:dyDescent="0.35">
      <c r="A25" t="s">
        <v>47</v>
      </c>
    </row>
    <row r="26" spans="1:1" x14ac:dyDescent="0.35">
      <c r="A26" t="s">
        <v>48</v>
      </c>
    </row>
    <row r="27" spans="1:1" x14ac:dyDescent="0.35">
      <c r="A27" t="s">
        <v>49</v>
      </c>
    </row>
    <row r="28" spans="1:1" x14ac:dyDescent="0.35">
      <c r="A28" t="s">
        <v>50</v>
      </c>
    </row>
    <row r="29" spans="1:1" x14ac:dyDescent="0.35">
      <c r="A29" t="s">
        <v>51</v>
      </c>
    </row>
    <row r="30" spans="1:1" x14ac:dyDescent="0.35">
      <c r="A30" t="s">
        <v>52</v>
      </c>
    </row>
    <row r="31" spans="1:1" x14ac:dyDescent="0.35">
      <c r="A31" t="s">
        <v>53</v>
      </c>
    </row>
    <row r="32" spans="1:1" x14ac:dyDescent="0.35">
      <c r="A32" t="s">
        <v>54</v>
      </c>
    </row>
    <row r="33" spans="1:1" x14ac:dyDescent="0.35">
      <c r="A33" t="s">
        <v>55</v>
      </c>
    </row>
    <row r="34" spans="1:1" x14ac:dyDescent="0.35">
      <c r="A34" t="s">
        <v>56</v>
      </c>
    </row>
    <row r="35" spans="1:1" x14ac:dyDescent="0.35">
      <c r="A35" t="s">
        <v>57</v>
      </c>
    </row>
    <row r="36" spans="1:1" x14ac:dyDescent="0.35">
      <c r="A36" t="s">
        <v>58</v>
      </c>
    </row>
    <row r="37" spans="1:1" x14ac:dyDescent="0.35">
      <c r="A37" t="s">
        <v>59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PAINEL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oliveira</dc:creator>
  <cp:lastModifiedBy>diego oliveira</cp:lastModifiedBy>
  <dcterms:created xsi:type="dcterms:W3CDTF">2026-09-11T15:05:50Z</dcterms:created>
  <dcterms:modified xsi:type="dcterms:W3CDTF">2026-09-17T05:12:25Z</dcterms:modified>
</cp:coreProperties>
</file>